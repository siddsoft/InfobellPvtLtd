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Sheet1!$A$2:$H$2</definedName>
  </definedNames>
  <calcPr calcId="124519"/>
</workbook>
</file>

<file path=xl/calcChain.xml><?xml version="1.0" encoding="utf-8"?>
<calcChain xmlns="http://schemas.openxmlformats.org/spreadsheetml/2006/main">
  <c r="H22" i="1"/>
  <c r="H18"/>
  <c r="H19" s="1"/>
  <c r="H16"/>
  <c r="G16"/>
  <c r="G15"/>
  <c r="H15" s="1"/>
  <c r="G14"/>
  <c r="H14" s="1"/>
  <c r="G4" l="1"/>
  <c r="H4" s="1"/>
  <c r="G5"/>
  <c r="H5" s="1"/>
  <c r="G6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7"/>
  <c r="H17" s="1"/>
  <c r="G3"/>
  <c r="H3" s="1"/>
  <c r="H21" l="1"/>
  <c r="H20" l="1"/>
</calcChain>
</file>

<file path=xl/sharedStrings.xml><?xml version="1.0" encoding="utf-8"?>
<sst xmlns="http://schemas.openxmlformats.org/spreadsheetml/2006/main" count="44" uniqueCount="30">
  <si>
    <t xml:space="preserve">Satheesh Kumar </t>
  </si>
  <si>
    <t xml:space="preserve">G.Naveen Kumar </t>
  </si>
  <si>
    <t xml:space="preserve">Mandem.Raja </t>
  </si>
  <si>
    <t xml:space="preserve">Anjani P </t>
  </si>
  <si>
    <t xml:space="preserve">Rama Devi </t>
  </si>
  <si>
    <t xml:space="preserve">Gudipati Jeevitha </t>
  </si>
  <si>
    <t xml:space="preserve">Sai Sasi Kiran </t>
  </si>
  <si>
    <t xml:space="preserve">Lejisha Ashok </t>
  </si>
  <si>
    <t xml:space="preserve">Suman H </t>
  </si>
  <si>
    <t xml:space="preserve">Sunil Kumar Pandey </t>
  </si>
  <si>
    <t xml:space="preserve">Ram Babruvan Birajdar </t>
  </si>
  <si>
    <t xml:space="preserve">Manjula Palla </t>
  </si>
  <si>
    <t xml:space="preserve">Hrushikesh Patil </t>
  </si>
  <si>
    <t>Name</t>
  </si>
  <si>
    <t>SL No.</t>
  </si>
  <si>
    <t>DOJ</t>
  </si>
  <si>
    <t>Rate / hour as per SOW</t>
  </si>
  <si>
    <t>No of days worked</t>
  </si>
  <si>
    <t>No of Hours as per approved timesheet</t>
  </si>
  <si>
    <t>Amount</t>
  </si>
  <si>
    <t>May 2016 - Tek Systems - IT</t>
  </si>
  <si>
    <t>Bangalore</t>
  </si>
  <si>
    <t xml:space="preserve">Work Location 
</t>
  </si>
  <si>
    <t>Total</t>
  </si>
  <si>
    <t>Swach Bharath @0.5%</t>
  </si>
  <si>
    <t>Krishi Kalyan Cess @0.5%</t>
  </si>
  <si>
    <t>Total(Rounded)</t>
  </si>
  <si>
    <t>ST @15%</t>
  </si>
  <si>
    <t>Parth Angadi</t>
  </si>
  <si>
    <t>Biswajit Panigrahi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</si>
</sst>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Bookman Old Style"/>
      <family val="1"/>
    </font>
    <font>
      <b/>
      <sz val="8"/>
      <name val="Bookman Old Style"/>
      <family val="1"/>
    </font>
    <font>
      <b/>
      <sz val="10"/>
      <name val="Bookman Old Style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43" fontId="3" fillId="0" borderId="5" xfId="1" applyFont="1" applyFill="1" applyBorder="1" applyAlignment="1">
      <alignment horizontal="center" vertical="center" wrapText="1"/>
    </xf>
    <xf numFmtId="164" fontId="3" fillId="0" borderId="5" xfId="1" applyNumberFormat="1" applyFont="1" applyFill="1" applyBorder="1" applyAlignment="1">
      <alignment horizontal="center" vertical="center" wrapText="1"/>
    </xf>
    <xf numFmtId="43" fontId="3" fillId="0" borderId="6" xfId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0" xfId="0" applyBorder="1"/>
    <xf numFmtId="15" fontId="0" fillId="0" borderId="0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5" fontId="0" fillId="0" borderId="10" xfId="0" applyNumberFormat="1" applyBorder="1"/>
    <xf numFmtId="0" fontId="0" fillId="0" borderId="11" xfId="0" applyBorder="1"/>
    <xf numFmtId="0" fontId="4" fillId="0" borderId="0" xfId="0" applyFont="1" applyFill="1" applyBorder="1" applyAlignment="1">
      <alignment horizontal="right"/>
    </xf>
    <xf numFmtId="43" fontId="4" fillId="0" borderId="0" xfId="1" applyFont="1" applyFill="1" applyBorder="1" applyAlignment="1">
      <alignment horizontal="right"/>
    </xf>
    <xf numFmtId="17" fontId="2" fillId="0" borderId="1" xfId="0" applyNumberFormat="1" applyFont="1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>
      <selection sqref="A1:H1"/>
    </sheetView>
  </sheetViews>
  <sheetFormatPr defaultRowHeight="15"/>
  <cols>
    <col min="1" max="1" width="3.85546875" customWidth="1"/>
    <col min="2" max="2" width="21.7109375" bestFit="1" customWidth="1"/>
    <col min="3" max="3" width="10.140625" customWidth="1"/>
    <col min="4" max="4" width="9.85546875" bestFit="1" customWidth="1"/>
    <col min="6" max="6" width="9.140625" hidden="1" customWidth="1"/>
    <col min="7" max="7" width="27.28515625" bestFit="1" customWidth="1"/>
    <col min="8" max="8" width="14" bestFit="1" customWidth="1"/>
  </cols>
  <sheetData>
    <row r="1" spans="1:8" ht="15.75" thickBot="1">
      <c r="A1" s="16" t="s">
        <v>20</v>
      </c>
      <c r="B1" s="17"/>
      <c r="C1" s="17"/>
      <c r="D1" s="17"/>
      <c r="E1" s="17"/>
      <c r="F1" s="17"/>
      <c r="G1" s="17"/>
      <c r="H1" s="18"/>
    </row>
    <row r="2" spans="1:8" ht="33.75">
      <c r="A2" s="1" t="s">
        <v>14</v>
      </c>
      <c r="B2" s="2" t="s">
        <v>13</v>
      </c>
      <c r="C2" s="2" t="s">
        <v>15</v>
      </c>
      <c r="D2" s="2" t="s">
        <v>22</v>
      </c>
      <c r="E2" s="3" t="s">
        <v>16</v>
      </c>
      <c r="F2" s="4" t="s">
        <v>17</v>
      </c>
      <c r="G2" s="2" t="s">
        <v>18</v>
      </c>
      <c r="H2" s="5" t="s">
        <v>19</v>
      </c>
    </row>
    <row r="3" spans="1:8">
      <c r="A3" s="6">
        <v>1</v>
      </c>
      <c r="B3" s="7" t="s">
        <v>0</v>
      </c>
      <c r="C3" s="8">
        <v>42515</v>
      </c>
      <c r="D3" s="7" t="s">
        <v>21</v>
      </c>
      <c r="E3" s="7">
        <v>552.82500000000005</v>
      </c>
      <c r="F3" s="7">
        <v>7</v>
      </c>
      <c r="G3" s="7">
        <f>F3*8</f>
        <v>56</v>
      </c>
      <c r="H3" s="9">
        <f>E3*G3</f>
        <v>30958.200000000004</v>
      </c>
    </row>
    <row r="4" spans="1:8">
      <c r="A4" s="6">
        <v>2</v>
      </c>
      <c r="B4" s="7" t="s">
        <v>1</v>
      </c>
      <c r="C4" s="8">
        <v>42515</v>
      </c>
      <c r="D4" s="7" t="s">
        <v>21</v>
      </c>
      <c r="E4" s="7">
        <v>552.82500000000005</v>
      </c>
      <c r="F4" s="7">
        <v>7</v>
      </c>
      <c r="G4" s="7">
        <f t="shared" ref="G4:G16" si="0">F4*8</f>
        <v>56</v>
      </c>
      <c r="H4" s="9">
        <f t="shared" ref="H4:H13" si="1">E4*G4</f>
        <v>30958.200000000004</v>
      </c>
    </row>
    <row r="5" spans="1:8">
      <c r="A5" s="6">
        <v>3</v>
      </c>
      <c r="B5" s="7" t="s">
        <v>2</v>
      </c>
      <c r="C5" s="8">
        <v>42515</v>
      </c>
      <c r="D5" s="7" t="s">
        <v>21</v>
      </c>
      <c r="E5" s="7">
        <v>552.82500000000005</v>
      </c>
      <c r="F5" s="7">
        <v>7</v>
      </c>
      <c r="G5" s="7">
        <f t="shared" si="0"/>
        <v>56</v>
      </c>
      <c r="H5" s="9">
        <f t="shared" si="1"/>
        <v>30958.200000000004</v>
      </c>
    </row>
    <row r="6" spans="1:8">
      <c r="A6" s="6">
        <v>4</v>
      </c>
      <c r="B6" s="7" t="s">
        <v>3</v>
      </c>
      <c r="C6" s="8">
        <v>42515</v>
      </c>
      <c r="D6" s="7" t="s">
        <v>21</v>
      </c>
      <c r="E6" s="7">
        <v>552.82500000000005</v>
      </c>
      <c r="F6" s="7">
        <v>7</v>
      </c>
      <c r="G6" s="7">
        <f t="shared" si="0"/>
        <v>56</v>
      </c>
      <c r="H6" s="9">
        <f t="shared" si="1"/>
        <v>30958.200000000004</v>
      </c>
    </row>
    <row r="7" spans="1:8">
      <c r="A7" s="6">
        <v>5</v>
      </c>
      <c r="B7" s="7" t="s">
        <v>4</v>
      </c>
      <c r="C7" s="8">
        <v>42515</v>
      </c>
      <c r="D7" s="7" t="s">
        <v>21</v>
      </c>
      <c r="E7" s="7">
        <v>552.82500000000005</v>
      </c>
      <c r="F7" s="7">
        <v>7</v>
      </c>
      <c r="G7" s="7">
        <f t="shared" si="0"/>
        <v>56</v>
      </c>
      <c r="H7" s="9">
        <f t="shared" si="1"/>
        <v>30958.200000000004</v>
      </c>
    </row>
    <row r="8" spans="1:8">
      <c r="A8" s="6">
        <v>6</v>
      </c>
      <c r="B8" s="7" t="s">
        <v>5</v>
      </c>
      <c r="C8" s="8">
        <v>42515</v>
      </c>
      <c r="D8" s="7" t="s">
        <v>21</v>
      </c>
      <c r="E8" s="7">
        <v>552.82500000000005</v>
      </c>
      <c r="F8" s="7">
        <v>7</v>
      </c>
      <c r="G8" s="7">
        <f t="shared" si="0"/>
        <v>56</v>
      </c>
      <c r="H8" s="9">
        <f t="shared" si="1"/>
        <v>30958.200000000004</v>
      </c>
    </row>
    <row r="9" spans="1:8">
      <c r="A9" s="6">
        <v>7</v>
      </c>
      <c r="B9" s="7" t="s">
        <v>6</v>
      </c>
      <c r="C9" s="8">
        <v>42515</v>
      </c>
      <c r="D9" s="7" t="s">
        <v>21</v>
      </c>
      <c r="E9" s="7">
        <v>552.82500000000005</v>
      </c>
      <c r="F9" s="7">
        <v>7</v>
      </c>
      <c r="G9" s="7">
        <f t="shared" si="0"/>
        <v>56</v>
      </c>
      <c r="H9" s="9">
        <f t="shared" si="1"/>
        <v>30958.200000000004</v>
      </c>
    </row>
    <row r="10" spans="1:8">
      <c r="A10" s="6">
        <v>8</v>
      </c>
      <c r="B10" s="7" t="s">
        <v>7</v>
      </c>
      <c r="C10" s="8">
        <v>42515</v>
      </c>
      <c r="D10" s="7" t="s">
        <v>21</v>
      </c>
      <c r="E10" s="7">
        <v>388.8</v>
      </c>
      <c r="F10" s="7">
        <v>7</v>
      </c>
      <c r="G10" s="7">
        <f t="shared" si="0"/>
        <v>56</v>
      </c>
      <c r="H10" s="9">
        <f t="shared" si="1"/>
        <v>21772.799999999999</v>
      </c>
    </row>
    <row r="11" spans="1:8">
      <c r="A11" s="6">
        <v>9</v>
      </c>
      <c r="B11" s="7" t="s">
        <v>8</v>
      </c>
      <c r="C11" s="8">
        <v>42515</v>
      </c>
      <c r="D11" s="7" t="s">
        <v>21</v>
      </c>
      <c r="E11" s="7">
        <v>603</v>
      </c>
      <c r="F11" s="7">
        <v>7</v>
      </c>
      <c r="G11" s="7">
        <f t="shared" si="0"/>
        <v>56</v>
      </c>
      <c r="H11" s="9">
        <f t="shared" si="1"/>
        <v>33768</v>
      </c>
    </row>
    <row r="12" spans="1:8">
      <c r="A12" s="6">
        <v>10</v>
      </c>
      <c r="B12" s="7" t="s">
        <v>28</v>
      </c>
      <c r="C12" s="8">
        <v>42515</v>
      </c>
      <c r="D12" s="7" t="s">
        <v>21</v>
      </c>
      <c r="E12" s="7">
        <v>552.82500000000005</v>
      </c>
      <c r="F12" s="7">
        <v>7</v>
      </c>
      <c r="G12" s="7">
        <f t="shared" si="0"/>
        <v>56</v>
      </c>
      <c r="H12" s="9">
        <f t="shared" si="1"/>
        <v>30958.200000000004</v>
      </c>
    </row>
    <row r="13" spans="1:8">
      <c r="A13" s="6">
        <v>11</v>
      </c>
      <c r="B13" s="7" t="s">
        <v>9</v>
      </c>
      <c r="C13" s="8">
        <v>42515</v>
      </c>
      <c r="D13" s="7" t="s">
        <v>21</v>
      </c>
      <c r="E13" s="7">
        <v>552.82500000000005</v>
      </c>
      <c r="F13" s="7">
        <v>7</v>
      </c>
      <c r="G13" s="7">
        <f t="shared" si="0"/>
        <v>56</v>
      </c>
      <c r="H13" s="9">
        <f t="shared" si="1"/>
        <v>30958.200000000004</v>
      </c>
    </row>
    <row r="14" spans="1:8">
      <c r="A14" s="6">
        <v>12</v>
      </c>
      <c r="B14" s="7" t="s">
        <v>11</v>
      </c>
      <c r="C14" s="8">
        <v>42515</v>
      </c>
      <c r="D14" s="7" t="s">
        <v>21</v>
      </c>
      <c r="E14" s="7">
        <v>603</v>
      </c>
      <c r="F14" s="7">
        <v>7</v>
      </c>
      <c r="G14" s="7">
        <f t="shared" si="0"/>
        <v>56</v>
      </c>
      <c r="H14" s="9">
        <f t="shared" ref="H14:H16" si="2">E14*G14</f>
        <v>33768</v>
      </c>
    </row>
    <row r="15" spans="1:8">
      <c r="A15" s="6">
        <v>13</v>
      </c>
      <c r="B15" s="7" t="s">
        <v>12</v>
      </c>
      <c r="C15" s="8">
        <v>42515</v>
      </c>
      <c r="D15" s="7" t="s">
        <v>21</v>
      </c>
      <c r="E15" s="7">
        <v>660</v>
      </c>
      <c r="F15" s="7">
        <v>7</v>
      </c>
      <c r="G15" s="7">
        <f t="shared" si="0"/>
        <v>56</v>
      </c>
      <c r="H15" s="9">
        <f t="shared" si="2"/>
        <v>36960</v>
      </c>
    </row>
    <row r="16" spans="1:8">
      <c r="A16" s="6">
        <v>14</v>
      </c>
      <c r="B16" s="7" t="s">
        <v>10</v>
      </c>
      <c r="C16" s="8">
        <v>42516</v>
      </c>
      <c r="D16" s="7" t="s">
        <v>21</v>
      </c>
      <c r="E16" s="7">
        <v>552.82500000000005</v>
      </c>
      <c r="F16" s="7">
        <v>6</v>
      </c>
      <c r="G16" s="7">
        <f t="shared" si="0"/>
        <v>48</v>
      </c>
      <c r="H16" s="9">
        <f t="shared" si="2"/>
        <v>26535.600000000002</v>
      </c>
    </row>
    <row r="17" spans="1:8" ht="15.75" thickBot="1">
      <c r="A17" s="10">
        <v>15</v>
      </c>
      <c r="B17" s="11" t="s">
        <v>29</v>
      </c>
      <c r="C17" s="12">
        <v>42520</v>
      </c>
      <c r="D17" s="11" t="s">
        <v>21</v>
      </c>
      <c r="E17" s="11">
        <v>552.82500000000005</v>
      </c>
      <c r="F17" s="11">
        <v>2</v>
      </c>
      <c r="G17" s="11">
        <f>F17*8</f>
        <v>16</v>
      </c>
      <c r="H17" s="13">
        <f>E17*G17</f>
        <v>8845.2000000000007</v>
      </c>
    </row>
    <row r="18" spans="1:8">
      <c r="G18" s="14" t="s">
        <v>23</v>
      </c>
      <c r="H18" s="15">
        <f>SUM(H3:H17)</f>
        <v>440273.40000000008</v>
      </c>
    </row>
    <row r="19" spans="1:8">
      <c r="G19" s="14" t="s">
        <v>27</v>
      </c>
      <c r="H19" s="15">
        <f>H18*15%</f>
        <v>66041.010000000009</v>
      </c>
    </row>
    <row r="20" spans="1:8">
      <c r="G20" s="14" t="s">
        <v>24</v>
      </c>
      <c r="H20" s="15">
        <f>H18*0.5%</f>
        <v>2201.3670000000006</v>
      </c>
    </row>
    <row r="21" spans="1:8">
      <c r="G21" s="14" t="s">
        <v>25</v>
      </c>
      <c r="H21" s="15">
        <f>H18*0.5%</f>
        <v>2201.3670000000006</v>
      </c>
    </row>
    <row r="22" spans="1:8">
      <c r="G22" s="14" t="s">
        <v>26</v>
      </c>
      <c r="H22" s="15">
        <f>ROUND(H21+H20+H19+H18,0)</f>
        <v>510717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Siddsoft</dc:creator>
  <cp:lastModifiedBy>Siddsoft</cp:lastModifiedBy>
  <dcterms:created xsi:type="dcterms:W3CDTF">2016-06-09T04:52:23Z</dcterms:created>
  <dcterms:modified xsi:type="dcterms:W3CDTF">2016-06-09T10:35:26Z</dcterms:modified>
</cp:coreProperties>
</file>