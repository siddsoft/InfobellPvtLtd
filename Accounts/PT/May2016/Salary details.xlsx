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8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9"/>
  <c r="F10"/>
  <c r="F2"/>
  <c r="F8"/>
</calcChain>
</file>

<file path=xl/sharedStrings.xml><?xml version="1.0" encoding="utf-8"?>
<sst xmlns="http://schemas.openxmlformats.org/spreadsheetml/2006/main" count="16" uniqueCount="16">
  <si>
    <t>SL No</t>
  </si>
  <si>
    <t>Employees Name</t>
  </si>
  <si>
    <t>Satheesh Kumar</t>
  </si>
  <si>
    <t>G.Naveen Kumar</t>
  </si>
  <si>
    <t>Gross Salary</t>
  </si>
  <si>
    <t>Net Salary</t>
  </si>
  <si>
    <t>PT Deduction</t>
  </si>
  <si>
    <t>PF Deduction</t>
  </si>
  <si>
    <t>Mandem.Raja</t>
  </si>
  <si>
    <t>Anjani P</t>
  </si>
  <si>
    <t>Gudipati Jeevitha</t>
  </si>
  <si>
    <t>Rama Devi</t>
  </si>
  <si>
    <t>Sai Sasi Kiran</t>
  </si>
  <si>
    <t>Lejisha Ashok</t>
  </si>
  <si>
    <t>Suman H</t>
  </si>
  <si>
    <t>Parth Angadi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</si>
</sst>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1" xfId="0" applyNumberFormat="1" applyBorder="1" applyAlignment="1">
      <alignment wrapText="1"/>
    </xf>
    <xf numFmtId="4" fontId="0" fillId="0" borderId="1" xfId="0" applyNumberFormat="1" applyBorder="1"/>
    <xf numFmtId="4" fontId="1" fillId="2" borderId="1" xfId="0" applyNumberFormat="1" applyFont="1" applyFill="1" applyBorder="1" applyAlignment="1">
      <alignment vertical="top" wrapText="1"/>
    </xf>
    <xf numFmtId="4" fontId="0" fillId="0" borderId="1" xfId="0" applyNumberFormat="1" applyFill="1" applyBorder="1"/>
    <xf numFmtId="1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ddsoft/Salary%20Processing/May/Manual%20Paysheet_May'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roll"/>
      <sheetName val="Leaves"/>
      <sheetName val="13th joinees"/>
      <sheetName val="April Data"/>
      <sheetName val="Sheet3"/>
      <sheetName val="Sheet1"/>
    </sheetNames>
    <sheetDataSet>
      <sheetData sheetId="0"/>
      <sheetData sheetId="1"/>
      <sheetData sheetId="2">
        <row r="1">
          <cell r="B1" t="str">
            <v>NameoftheEmployee</v>
          </cell>
          <cell r="C1" t="str">
            <v>CTC</v>
          </cell>
          <cell r="D1" t="str">
            <v>Yearly Gross Salary</v>
          </cell>
          <cell r="E1" t="str">
            <v>Monthly Gross Salary</v>
          </cell>
          <cell r="F1" t="str">
            <v>Salary per day</v>
          </cell>
          <cell r="G1" t="str">
            <v>Total Salary</v>
          </cell>
          <cell r="H1" t="str">
            <v>PT Deduction</v>
          </cell>
          <cell r="I1" t="str">
            <v>Extra Pay</v>
          </cell>
          <cell r="J1" t="str">
            <v>Net Salary</v>
          </cell>
        </row>
        <row r="2">
          <cell r="B2" t="str">
            <v>Satheesh Kumar</v>
          </cell>
          <cell r="C2">
            <v>530000</v>
          </cell>
          <cell r="D2">
            <v>508400</v>
          </cell>
          <cell r="E2">
            <v>42367</v>
          </cell>
          <cell r="F2">
            <v>1366.6774193548388</v>
          </cell>
          <cell r="G2">
            <v>9567</v>
          </cell>
          <cell r="H2">
            <v>200</v>
          </cell>
          <cell r="J2">
            <v>9367</v>
          </cell>
        </row>
        <row r="3">
          <cell r="B3" t="str">
            <v>G.Naveen Kumar</v>
          </cell>
          <cell r="C3">
            <v>530000</v>
          </cell>
          <cell r="D3">
            <v>508400</v>
          </cell>
          <cell r="E3">
            <v>42367</v>
          </cell>
          <cell r="F3">
            <v>1366.6774193548388</v>
          </cell>
          <cell r="G3">
            <v>9567</v>
          </cell>
          <cell r="H3">
            <v>200</v>
          </cell>
          <cell r="J3">
            <v>9367</v>
          </cell>
        </row>
        <row r="4">
          <cell r="B4" t="str">
            <v>Mandem.Raja</v>
          </cell>
          <cell r="C4">
            <v>500000</v>
          </cell>
          <cell r="D4">
            <v>478400</v>
          </cell>
          <cell r="E4">
            <v>39867</v>
          </cell>
          <cell r="F4">
            <v>1286.0322580645161</v>
          </cell>
          <cell r="G4">
            <v>9002</v>
          </cell>
          <cell r="H4">
            <v>200</v>
          </cell>
          <cell r="J4">
            <v>8802</v>
          </cell>
        </row>
        <row r="5">
          <cell r="B5" t="str">
            <v>Anjani P</v>
          </cell>
          <cell r="C5">
            <v>648000</v>
          </cell>
          <cell r="D5">
            <v>626400</v>
          </cell>
          <cell r="E5">
            <v>52200</v>
          </cell>
          <cell r="F5">
            <v>1683.8709677419354</v>
          </cell>
          <cell r="G5">
            <v>11787</v>
          </cell>
          <cell r="H5">
            <v>200</v>
          </cell>
          <cell r="J5">
            <v>11587</v>
          </cell>
        </row>
        <row r="6">
          <cell r="B6" t="str">
            <v>Gudipati Jeevitha</v>
          </cell>
          <cell r="C6">
            <v>560000</v>
          </cell>
          <cell r="D6">
            <v>538400</v>
          </cell>
          <cell r="E6">
            <v>44867</v>
          </cell>
          <cell r="F6">
            <v>1447.3225806451612</v>
          </cell>
          <cell r="G6">
            <v>10131</v>
          </cell>
          <cell r="H6">
            <v>200</v>
          </cell>
          <cell r="J6">
            <v>9931</v>
          </cell>
        </row>
        <row r="7">
          <cell r="B7" t="str">
            <v>Rama Devi</v>
          </cell>
          <cell r="C7">
            <v>470000</v>
          </cell>
          <cell r="D7">
            <v>448400</v>
          </cell>
          <cell r="E7">
            <v>37367</v>
          </cell>
          <cell r="F7">
            <v>1205.3870967741937</v>
          </cell>
          <cell r="G7">
            <v>8438</v>
          </cell>
          <cell r="H7">
            <v>200</v>
          </cell>
          <cell r="J7">
            <v>8238</v>
          </cell>
        </row>
        <row r="8">
          <cell r="B8" t="str">
            <v>Sai Sasi Kiran</v>
          </cell>
          <cell r="C8">
            <v>650000</v>
          </cell>
          <cell r="D8">
            <v>628400</v>
          </cell>
          <cell r="E8">
            <v>52367</v>
          </cell>
          <cell r="F8">
            <v>1689.258064516129</v>
          </cell>
          <cell r="G8">
            <v>11825</v>
          </cell>
          <cell r="H8">
            <v>200</v>
          </cell>
          <cell r="I8">
            <v>2514</v>
          </cell>
          <cell r="J8">
            <v>14139</v>
          </cell>
        </row>
        <row r="9">
          <cell r="B9" t="str">
            <v>Lejisha Ashok</v>
          </cell>
          <cell r="C9">
            <v>600000</v>
          </cell>
          <cell r="D9">
            <v>578400</v>
          </cell>
          <cell r="E9">
            <v>48200</v>
          </cell>
          <cell r="F9">
            <v>1554.8387096774193</v>
          </cell>
          <cell r="G9">
            <v>10884</v>
          </cell>
          <cell r="H9">
            <v>200</v>
          </cell>
          <cell r="J9">
            <v>10684</v>
          </cell>
        </row>
        <row r="10">
          <cell r="B10" t="str">
            <v>Suman H</v>
          </cell>
          <cell r="C10">
            <v>750000</v>
          </cell>
          <cell r="D10">
            <v>728400</v>
          </cell>
          <cell r="E10">
            <v>60700</v>
          </cell>
          <cell r="F10">
            <v>1958.0645161290322</v>
          </cell>
          <cell r="G10">
            <v>13706</v>
          </cell>
          <cell r="H10">
            <v>200</v>
          </cell>
          <cell r="J10">
            <v>13506</v>
          </cell>
        </row>
        <row r="11">
          <cell r="B11" t="str">
            <v>Parth</v>
          </cell>
          <cell r="C11">
            <v>680000</v>
          </cell>
          <cell r="D11">
            <v>658400</v>
          </cell>
          <cell r="E11">
            <v>54867</v>
          </cell>
          <cell r="F11">
            <v>1769.9032258064517</v>
          </cell>
          <cell r="G11">
            <v>12389</v>
          </cell>
          <cell r="H11">
            <v>200</v>
          </cell>
          <cell r="J11">
            <v>12189</v>
          </cell>
        </row>
        <row r="12">
          <cell r="I12" t="str">
            <v>total</v>
          </cell>
          <cell r="J12">
            <v>107810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7.140625" bestFit="1" customWidth="1"/>
    <col min="2" max="2" width="18.5703125" bestFit="1" customWidth="1"/>
    <col min="3" max="3" width="14" bestFit="1" customWidth="1"/>
    <col min="4" max="4" width="14.85546875" customWidth="1"/>
    <col min="5" max="5" width="15" bestFit="1" customWidth="1"/>
    <col min="6" max="6" width="11.28515625" bestFit="1" customWidth="1"/>
  </cols>
  <sheetData>
    <row r="1" spans="1:6" ht="18" customHeight="1">
      <c r="A1" s="3" t="s">
        <v>0</v>
      </c>
      <c r="B1" s="3" t="s">
        <v>1</v>
      </c>
      <c r="C1" s="3" t="s">
        <v>4</v>
      </c>
      <c r="D1" s="3" t="s">
        <v>7</v>
      </c>
      <c r="E1" s="3" t="s">
        <v>6</v>
      </c>
      <c r="F1" s="3" t="s">
        <v>5</v>
      </c>
    </row>
    <row r="2" spans="1:6">
      <c r="A2" s="5">
        <v>1</v>
      </c>
      <c r="B2" s="2" t="s">
        <v>2</v>
      </c>
      <c r="C2" s="1">
        <v>42367</v>
      </c>
      <c r="D2" s="1">
        <v>0</v>
      </c>
      <c r="E2" s="2">
        <v>200</v>
      </c>
      <c r="F2" s="2">
        <f>VLOOKUP(B2,'[1]13th joinees'!$B:$J,9,0)</f>
        <v>9367</v>
      </c>
    </row>
    <row r="3" spans="1:6">
      <c r="A3" s="5">
        <v>2</v>
      </c>
      <c r="B3" s="2" t="s">
        <v>3</v>
      </c>
      <c r="C3" s="1">
        <v>42367</v>
      </c>
      <c r="D3" s="1">
        <v>0</v>
      </c>
      <c r="E3" s="2">
        <v>200</v>
      </c>
      <c r="F3" s="2">
        <f>VLOOKUP(B3,'[1]13th joinees'!$B:$J,9,0)</f>
        <v>9367</v>
      </c>
    </row>
    <row r="4" spans="1:6">
      <c r="A4" s="5">
        <v>3</v>
      </c>
      <c r="B4" s="2" t="s">
        <v>8</v>
      </c>
      <c r="C4" s="1">
        <v>39867</v>
      </c>
      <c r="D4" s="1">
        <v>0</v>
      </c>
      <c r="E4" s="2">
        <v>200</v>
      </c>
      <c r="F4" s="2">
        <f>VLOOKUP(B4,'[1]13th joinees'!$B:$J,9,0)</f>
        <v>8802</v>
      </c>
    </row>
    <row r="5" spans="1:6">
      <c r="A5" s="5">
        <v>4</v>
      </c>
      <c r="B5" s="2" t="s">
        <v>9</v>
      </c>
      <c r="C5" s="1">
        <v>52200</v>
      </c>
      <c r="D5" s="1">
        <v>0</v>
      </c>
      <c r="E5" s="2">
        <v>200</v>
      </c>
      <c r="F5" s="2">
        <f>VLOOKUP(B5,'[1]13th joinees'!$B:$J,9,0)</f>
        <v>11587</v>
      </c>
    </row>
    <row r="6" spans="1:6">
      <c r="A6" s="5">
        <v>5</v>
      </c>
      <c r="B6" s="2" t="s">
        <v>10</v>
      </c>
      <c r="C6" s="1">
        <v>44867</v>
      </c>
      <c r="D6" s="1">
        <v>0</v>
      </c>
      <c r="E6" s="2">
        <v>200</v>
      </c>
      <c r="F6" s="2">
        <f>VLOOKUP(B6,'[1]13th joinees'!$B:$J,9,0)</f>
        <v>9931</v>
      </c>
    </row>
    <row r="7" spans="1:6">
      <c r="A7" s="5">
        <v>6</v>
      </c>
      <c r="B7" s="2" t="s">
        <v>11</v>
      </c>
      <c r="C7" s="1">
        <v>37367</v>
      </c>
      <c r="D7" s="1">
        <v>0</v>
      </c>
      <c r="E7" s="2">
        <v>200</v>
      </c>
      <c r="F7" s="2">
        <f>VLOOKUP(B7,'[1]13th joinees'!$B:$J,9,0)</f>
        <v>8238</v>
      </c>
    </row>
    <row r="8" spans="1:6">
      <c r="A8" s="5">
        <v>7</v>
      </c>
      <c r="B8" s="2" t="s">
        <v>12</v>
      </c>
      <c r="C8" s="1">
        <v>52367</v>
      </c>
      <c r="D8" s="1">
        <v>0</v>
      </c>
      <c r="E8" s="2">
        <v>200</v>
      </c>
      <c r="F8" s="2">
        <f>VLOOKUP(B8,'[1]13th joinees'!$B:$J,9,0)</f>
        <v>14139</v>
      </c>
    </row>
    <row r="9" spans="1:6">
      <c r="A9" s="5">
        <v>8</v>
      </c>
      <c r="B9" s="2" t="s">
        <v>13</v>
      </c>
      <c r="C9" s="1">
        <v>48200</v>
      </c>
      <c r="D9" s="1">
        <v>0</v>
      </c>
      <c r="E9" s="2">
        <v>200</v>
      </c>
      <c r="F9" s="2">
        <f>VLOOKUP(B9,'[1]13th joinees'!$B:$J,9,0)</f>
        <v>10684</v>
      </c>
    </row>
    <row r="10" spans="1:6">
      <c r="A10" s="5">
        <v>9</v>
      </c>
      <c r="B10" s="2" t="s">
        <v>14</v>
      </c>
      <c r="C10" s="1">
        <v>60700</v>
      </c>
      <c r="D10" s="1">
        <v>0</v>
      </c>
      <c r="E10" s="2">
        <v>200</v>
      </c>
      <c r="F10" s="2">
        <f>VLOOKUP(B10,'[1]13th joinees'!$B:$J,9,0)</f>
        <v>13506</v>
      </c>
    </row>
    <row r="11" spans="1:6">
      <c r="A11" s="5">
        <v>10</v>
      </c>
      <c r="B11" s="4" t="s">
        <v>15</v>
      </c>
      <c r="C11" s="1">
        <v>54867</v>
      </c>
      <c r="D11" s="1">
        <v>0</v>
      </c>
      <c r="E11" s="2">
        <v>200</v>
      </c>
      <c r="F11" s="2">
        <v>12189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Siddsoft</dc:creator>
  <cp:lastModifiedBy>Siddsoft</cp:lastModifiedBy>
  <dcterms:created xsi:type="dcterms:W3CDTF">2016-06-09T11:08:16Z</dcterms:created>
  <dcterms:modified xsi:type="dcterms:W3CDTF">2016-06-09T11:31:02Z</dcterms:modified>
</cp:coreProperties>
</file>